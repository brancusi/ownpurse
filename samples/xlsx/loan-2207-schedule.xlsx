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chedule" sheetId="1" r:id="rId1"/>
  </sheets>
  <calcPr calcId="191029"/>
</workbook>
</file>

<file path=xl/sharedStrings.xml><?xml version="1.0" encoding="utf-8"?>
<sst xmlns="http://schemas.openxmlformats.org/spreadsheetml/2006/main" count="12" uniqueCount="12">
  <si>
    <t>Ridgeway Federal Bank: loan 2207 amortisation schedule</t>
  </si>
  <si>
    <t>Annual rate</t>
  </si>
  <si>
    <t>Borrower</t>
  </si>
  <si>
    <t>Tallowmere Coffee Roasting Co.</t>
  </si>
  <si>
    <t>Payment #</t>
  </si>
  <si>
    <t>Date</t>
  </si>
  <si>
    <t>Payment</t>
  </si>
  <si>
    <t>Interest</t>
  </si>
  <si>
    <t>Principal</t>
  </si>
  <si>
    <t>Balance</t>
  </si>
  <si>
    <t>Balance forward</t>
  </si>
  <si>
    <t>Total 2026</t>
  </si>
</sst>
</file>

<file path=xl/styles.xml><?xml version="1.0" encoding="utf-8"?>
<styleSheet xmlns="http://schemas.openxmlformats.org/spreadsheetml/2006/main">
  <numFmts count="2">
    <numFmt numFmtId="164" formatCode="dd mmm yyyy"/>
    <numFmt numFmtId="165" formatCode="&quot;$&quot;#,##0.00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165" fontId="1" fillId="0" borderId="0" xfId="0" applyNumberFormat="1" applyFon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cols>
    <col min="1" max="1" width="16" customWidth="1"/>
    <col min="2" max="6" width="14" customWidth="1"/>
  </cols>
  <sheetData>
    <row r="1">
      <c r="A1" s="6" t="s">
        <v>0</v>
      </c>
    </row>
    <row r="2">
      <c r="A2" t="s">
        <v>1</v>
      </c>
      <c r="B2" s="4">
        <v>0.024</v>
      </c>
      <c r="D2" t="s">
        <v>2</v>
      </c>
      <c r="E2" t="s">
        <v>3</v>
      </c>
    </row>
    <row r="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>
      <c r="A4" t="s">
        <v>10</v>
      </c>
      <c r="B4" s="2">
        <v>46019</v>
      </c>
      <c r="F4" s="3">
        <v>63362.24</v>
      </c>
    </row>
    <row r="5">
      <c r="A5">
        <v>15</v>
      </c>
      <c r="B5" s="2">
        <f>EDATE(B4,1)</f>
        <v>46050</v>
      </c>
      <c r="C5" s="3">
        <v>1126.84</v>
      </c>
      <c r="D5" s="3">
        <f>ROUND(F4*$B$2/12,2)</f>
        <v>126.72</v>
      </c>
      <c r="E5" s="3">
        <f>C5-D5</f>
        <v>1000.1199999999999</v>
      </c>
      <c r="F5" s="3">
        <f>F4-E5</f>
        <v>62362.119999999995</v>
      </c>
    </row>
    <row r="6">
      <c r="A6">
        <f>A5+1</f>
        <v>16</v>
      </c>
      <c r="B6" s="2">
        <f>EDATE(B5,1)</f>
        <v>46081</v>
      </c>
      <c r="C6" s="3">
        <v>1126.84</v>
      </c>
      <c r="D6" s="3">
        <f>ROUND(F5*$B$2/12,2)</f>
        <v>124.72</v>
      </c>
      <c r="E6" s="3">
        <f>C6-D6</f>
        <v>1002.1199999999999</v>
      </c>
      <c r="F6" s="3">
        <f>F5-E6</f>
        <v>61359.99999999999</v>
      </c>
    </row>
    <row r="7">
      <c r="A7">
        <f>A6+1</f>
        <v>17</v>
      </c>
      <c r="B7" s="2">
        <f>EDATE(B6,1)</f>
        <v>46109</v>
      </c>
      <c r="C7" s="3">
        <v>1126.84</v>
      </c>
      <c r="D7" s="3">
        <f>ROUND(F6*$B$2/12,2)</f>
        <v>122.72</v>
      </c>
      <c r="E7" s="3">
        <f>C7-D7</f>
        <v>1004.1199999999999</v>
      </c>
      <c r="F7" s="3">
        <f>F6-E7</f>
        <v>60355.87999999999</v>
      </c>
    </row>
    <row r="8">
      <c r="A8">
        <f>A7+1</f>
        <v>18</v>
      </c>
      <c r="B8" s="2">
        <f>EDATE(B7,1)</f>
        <v>46140</v>
      </c>
      <c r="C8" s="3">
        <v>1126.84</v>
      </c>
      <c r="D8" s="3">
        <f>ROUND(F7*$B$2/12,2)</f>
        <v>120.71</v>
      </c>
      <c r="E8" s="3">
        <f>C8-D8</f>
        <v>1006.1299999999999</v>
      </c>
      <c r="F8" s="3">
        <f>F7-E8</f>
        <v>59349.74999999999</v>
      </c>
    </row>
    <row r="9">
      <c r="A9">
        <f>A8+1</f>
        <v>19</v>
      </c>
      <c r="B9" s="2">
        <f>EDATE(B8,1)</f>
        <v>46170</v>
      </c>
      <c r="C9" s="3">
        <v>1126.84</v>
      </c>
      <c r="D9" s="3">
        <f>ROUND(F8*$B$2/12,2)</f>
        <v>118.7</v>
      </c>
      <c r="E9" s="3">
        <f>C9-D9</f>
        <v>1008.1399999999999</v>
      </c>
      <c r="F9" s="3">
        <f>F8-E9</f>
        <v>58341.60999999999</v>
      </c>
    </row>
    <row r="10">
      <c r="A10">
        <f>A9+1</f>
        <v>20</v>
      </c>
      <c r="B10" s="2">
        <f>EDATE(B9,1)</f>
        <v>46201</v>
      </c>
      <c r="C10" s="3">
        <v>1126.84</v>
      </c>
      <c r="D10" s="3">
        <f>ROUND(F9*$B$2/12,2)</f>
        <v>116.68</v>
      </c>
      <c r="E10" s="3">
        <f>C10-D10</f>
        <v>1010.1599999999999</v>
      </c>
      <c r="F10" s="3">
        <f>F9-E10</f>
        <v>57331.45</v>
      </c>
    </row>
    <row r="11">
      <c r="A11">
        <f>A10+1</f>
        <v>21</v>
      </c>
      <c r="B11" s="2">
        <f>EDATE(B10,1)</f>
        <v>46231</v>
      </c>
      <c r="C11" s="3">
        <v>1126.84</v>
      </c>
      <c r="D11" s="3">
        <f>ROUND(F10*$B$2/12,2)</f>
        <v>114.66</v>
      </c>
      <c r="E11" s="3">
        <f>C11-D11</f>
        <v>1012.18</v>
      </c>
      <c r="F11" s="3">
        <f>F10-E11</f>
        <v>56319.27</v>
      </c>
    </row>
    <row r="12">
      <c r="A12">
        <f>A11+1</f>
        <v>22</v>
      </c>
      <c r="B12" s="2">
        <f>EDATE(B11,1)</f>
        <v>46262</v>
      </c>
      <c r="C12" s="3">
        <v>1126.84</v>
      </c>
      <c r="D12" s="3">
        <f>ROUND(F11*$B$2/12,2)</f>
        <v>112.64</v>
      </c>
      <c r="E12" s="3">
        <f>C12-D12</f>
        <v>1014.1999999999999</v>
      </c>
      <c r="F12" s="3">
        <f>F11-E12</f>
        <v>55305.07</v>
      </c>
    </row>
    <row r="13">
      <c r="A13">
        <f>A12+1</f>
        <v>23</v>
      </c>
      <c r="B13" s="2">
        <f>EDATE(B12,1)</f>
        <v>46293</v>
      </c>
      <c r="C13" s="3">
        <v>1126.84</v>
      </c>
      <c r="D13" s="3">
        <f>ROUND(F12*$B$2/12,2)</f>
        <v>110.61</v>
      </c>
      <c r="E13" s="3">
        <f>C13-D13</f>
        <v>1016.2299999999999</v>
      </c>
      <c r="F13" s="3">
        <f>F12-E13</f>
        <v>54288.84</v>
      </c>
    </row>
    <row r="14">
      <c r="A14">
        <f>A13+1</f>
        <v>24</v>
      </c>
      <c r="B14" s="2">
        <f>EDATE(B13,1)</f>
        <v>46323</v>
      </c>
      <c r="C14" s="3">
        <v>1126.84</v>
      </c>
      <c r="D14" s="3">
        <f>ROUND(F13*$B$2/12,2)</f>
        <v>108.58</v>
      </c>
      <c r="E14" s="3">
        <f>C14-D14</f>
        <v>1018.2599999999999</v>
      </c>
      <c r="F14" s="3">
        <f>F13-E14</f>
        <v>53270.579999999994</v>
      </c>
    </row>
    <row r="15">
      <c r="A15">
        <f>A14+1</f>
        <v>25</v>
      </c>
      <c r="B15" s="2">
        <f>EDATE(B14,1)</f>
        <v>46354</v>
      </c>
      <c r="C15" s="3">
        <v>1126.84</v>
      </c>
      <c r="D15" s="3">
        <f>ROUND(F14*$B$2/12,2)</f>
        <v>106.54</v>
      </c>
      <c r="E15" s="3">
        <f>C15-D15</f>
        <v>1020.3</v>
      </c>
      <c r="F15" s="3">
        <f>F14-E15</f>
        <v>52250.27999999999</v>
      </c>
    </row>
    <row r="16">
      <c r="A16">
        <f>A15+1</f>
        <v>26</v>
      </c>
      <c r="B16" s="2">
        <f>EDATE(B15,1)</f>
        <v>46384</v>
      </c>
      <c r="C16" s="3">
        <v>1126.84</v>
      </c>
      <c r="D16" s="3">
        <f>ROUND(F15*$B$2/12,2)</f>
        <v>104.5</v>
      </c>
      <c r="E16" s="3">
        <f>C16-D16</f>
        <v>1022.3399999999999</v>
      </c>
      <c r="F16" s="3">
        <f>F15-E16</f>
        <v>51227.939999999995</v>
      </c>
    </row>
    <row r="17">
      <c r="A17" s="1" t="s">
        <v>11</v>
      </c>
      <c r="C17" s="5">
        <f>SUM(C5:C16)</f>
        <v>13522.08</v>
      </c>
      <c r="D17" s="5">
        <f>SUM(D5:D16)</f>
        <v>1387.7799999999997</v>
      </c>
      <c r="E17" s="5">
        <f>SUM(E5:E16)</f>
        <v>12134.3</v>
      </c>
    </row>
  </sheetData>
  <mergeCells count="1">
    <mergeCell ref="A1:F1"/>
  </mergeCells>
</worksheet>
</file>